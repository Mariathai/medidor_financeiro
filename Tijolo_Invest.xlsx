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01dec4b373673e/Área de Trabalho/"/>
    </mc:Choice>
  </mc:AlternateContent>
  <xr:revisionPtr revIDLastSave="22" documentId="8_{CB47372B-9FBF-4E43-9753-F853112E8C5B}" xr6:coauthVersionLast="47" xr6:coauthVersionMax="47" xr10:uidLastSave="{D3D50470-0035-4E10-ABDE-D089AA5D08A0}"/>
  <bookViews>
    <workbookView xWindow="-108" yWindow="-108" windowWidth="23256" windowHeight="12456" xr2:uid="{AD360E25-0825-4DD4-BEA5-16C71EA4E994}"/>
  </bookViews>
  <sheets>
    <sheet name="Projeção financeira" sheetId="1" r:id="rId1"/>
    <sheet name="Planilha de apoio" sheetId="2" r:id="rId2"/>
  </sheets>
  <definedNames>
    <definedName name="Aporte">'Projeção financeira'!$D$19</definedName>
    <definedName name="patrimonio">'Projeção financeira'!$D$22</definedName>
    <definedName name="qtd_anos">'Projeção financeira'!$D$20</definedName>
    <definedName name="Rendimento_carteira">'Projeção financeira'!$D$15</definedName>
    <definedName name="Salario">'Projeção financeira'!$D$14</definedName>
    <definedName name="sugestao_investimento">'Projeção financeira'!$D$16</definedName>
    <definedName name="taxa_mensal">'Projeção financeira'!$D$21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D39" i="1" s="1"/>
  <c r="C40" i="1"/>
  <c r="D40" i="1" s="1"/>
  <c r="C41" i="1"/>
  <c r="D41" i="1" s="1"/>
  <c r="C42" i="1"/>
  <c r="D42" i="1" s="1"/>
  <c r="C43" i="1"/>
  <c r="D43" i="1" s="1"/>
  <c r="C38" i="1"/>
  <c r="D38" i="1" s="1"/>
  <c r="C35" i="1"/>
  <c r="D22" i="1"/>
  <c r="D23" i="1" s="1"/>
  <c r="D16" i="1"/>
  <c r="C27" i="1"/>
  <c r="D27" i="1" s="1"/>
  <c r="C28" i="1"/>
  <c r="D28" i="1" s="1"/>
  <c r="C29" i="1"/>
  <c r="D29" i="1" s="1"/>
  <c r="C30" i="1"/>
  <c r="D30" i="1" s="1"/>
  <c r="C26" i="1"/>
  <c r="D26" i="1" s="1"/>
  <c r="D44" i="1" l="1"/>
</calcChain>
</file>

<file path=xl/sharedStrings.xml><?xml version="1.0" encoding="utf-8"?>
<sst xmlns="http://schemas.openxmlformats.org/spreadsheetml/2006/main" count="87" uniqueCount="51">
  <si>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</si>
  <si>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</si>
  <si>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</si>
  <si>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</si>
  <si>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</si>
  <si>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</si>
  <si>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</si>
  <si>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</si>
  <si>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</si>
  <si>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</si>
  <si>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</si>
  <si>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</si>
  <si>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</si>
  <si>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</si>
  <si>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</si>
  <si>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</si>
  <si>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Sugestão de investimento</t>
  </si>
  <si>
    <t>Agressivo</t>
  </si>
  <si>
    <t>Moderado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</si>
  <si>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</si>
  <si>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</si>
  <si>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</si>
  <si>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</si>
  <si>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</si>
  <si>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</si>
  <si>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</si>
  <si>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</si>
  <si>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</si>
  <si>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</si>
  <si>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</si>
  <si>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</si>
  <si>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</si>
  <si>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</si>
  <si>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Conservador-PAPEL</t>
  </si>
  <si>
    <t>Conservador-TIJOLO</t>
  </si>
  <si>
    <t>Conservador-HÍBRIDOS</t>
  </si>
  <si>
    <t>Conservador-FOFs</t>
  </si>
  <si>
    <t>Conservador-DESENVOLVIMENTO</t>
  </si>
  <si>
    <t>Conservador-HOTELARIAS</t>
  </si>
  <si>
    <t>Moderado-PAPEL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</si>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</sst>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%"/>
    <numFmt numFmtId="165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indexed="64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/>
      <bottom style="medium">
        <color theme="2" tint="-9.9948118533890809E-2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0" xfId="0" applyFont="1"/>
    <xf numFmtId="0" fontId="0" fillId="0" borderId="0" xfId="0" applyAlignment="1">
      <alignment horizontal="center"/>
    </xf>
    <xf numFmtId="8" fontId="0" fillId="3" borderId="7" xfId="0" applyNumberFormat="1" applyFill="1" applyBorder="1"/>
    <xf numFmtId="8" fontId="0" fillId="3" borderId="8" xfId="0" applyNumberFormat="1" applyFill="1" applyBorder="1"/>
    <xf numFmtId="8" fontId="0" fillId="3" borderId="11" xfId="0" applyNumberFormat="1" applyFill="1" applyBorder="1"/>
    <xf numFmtId="8" fontId="0" fillId="3" borderId="13" xfId="0" applyNumberFormat="1" applyFill="1" applyBorder="1"/>
    <xf numFmtId="8" fontId="0" fillId="3" borderId="15" xfId="0" applyNumberFormat="1" applyFill="1" applyBorder="1"/>
    <xf numFmtId="8" fontId="0" fillId="3" borderId="16" xfId="0" applyNumberFormat="1" applyFill="1" applyBorder="1"/>
    <xf numFmtId="9" fontId="0" fillId="0" borderId="0" xfId="1" applyFont="1"/>
    <xf numFmtId="165" fontId="0" fillId="0" borderId="18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0" fontId="7" fillId="3" borderId="10" xfId="0" applyFont="1" applyFill="1" applyBorder="1" applyAlignment="1">
      <alignment horizontal="left" indent="3"/>
    </xf>
    <xf numFmtId="0" fontId="7" fillId="3" borderId="12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left" indent="3"/>
    </xf>
    <xf numFmtId="0" fontId="3" fillId="0" borderId="18" xfId="0" applyFont="1" applyBorder="1" applyAlignment="1">
      <alignment horizontal="center"/>
    </xf>
    <xf numFmtId="10" fontId="3" fillId="0" borderId="18" xfId="1" applyNumberFormat="1" applyFont="1" applyBorder="1" applyAlignment="1">
      <alignment horizontal="center"/>
    </xf>
    <xf numFmtId="8" fontId="3" fillId="3" borderId="18" xfId="0" applyNumberFormat="1" applyFont="1" applyFill="1" applyBorder="1" applyAlignment="1">
      <alignment horizontal="center"/>
    </xf>
    <xf numFmtId="8" fontId="3" fillId="3" borderId="20" xfId="0" applyNumberFormat="1" applyFont="1" applyFill="1" applyBorder="1" applyAlignment="1">
      <alignment horizontal="center"/>
    </xf>
    <xf numFmtId="165" fontId="3" fillId="0" borderId="25" xfId="0" applyNumberFormat="1" applyFont="1" applyBorder="1" applyAlignment="1">
      <alignment horizontal="center"/>
    </xf>
    <xf numFmtId="0" fontId="0" fillId="0" borderId="26" xfId="0" applyBorder="1"/>
    <xf numFmtId="0" fontId="0" fillId="0" borderId="26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3" fillId="4" borderId="3" xfId="0" applyFont="1" applyFill="1" applyBorder="1"/>
    <xf numFmtId="165" fontId="3" fillId="4" borderId="0" xfId="0" applyNumberFormat="1" applyFont="1" applyFill="1" applyAlignment="1">
      <alignment horizontal="center"/>
    </xf>
    <xf numFmtId="0" fontId="0" fillId="4" borderId="4" xfId="0" applyFill="1" applyBorder="1"/>
    <xf numFmtId="0" fontId="3" fillId="5" borderId="3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0" applyNumberFormat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0" fontId="0" fillId="5" borderId="5" xfId="0" applyFill="1" applyBorder="1"/>
    <xf numFmtId="0" fontId="0" fillId="5" borderId="26" xfId="0" applyFill="1" applyBorder="1"/>
    <xf numFmtId="165" fontId="3" fillId="5" borderId="6" xfId="0" applyNumberFormat="1" applyFont="1" applyFill="1" applyBorder="1" applyAlignment="1">
      <alignment horizontal="center"/>
    </xf>
    <xf numFmtId="0" fontId="8" fillId="3" borderId="19" xfId="0" applyFont="1" applyFill="1" applyBorder="1" applyAlignment="1">
      <alignment horizontal="left" indent="3"/>
    </xf>
    <xf numFmtId="0" fontId="8" fillId="3" borderId="24" xfId="0" applyFont="1" applyFill="1" applyBorder="1" applyAlignment="1">
      <alignment horizontal="left" indent="3"/>
    </xf>
    <xf numFmtId="0" fontId="7" fillId="4" borderId="21" xfId="0" applyFont="1" applyFill="1" applyBorder="1" applyAlignment="1">
      <alignment horizontal="left" indent="3"/>
    </xf>
    <xf numFmtId="0" fontId="7" fillId="4" borderId="22" xfId="0" applyFont="1" applyFill="1" applyBorder="1" applyAlignment="1">
      <alignment horizontal="left" indent="3"/>
    </xf>
    <xf numFmtId="0" fontId="7" fillId="4" borderId="17" xfId="0" applyFont="1" applyFill="1" applyBorder="1" applyAlignment="1">
      <alignment horizontal="left" indent="3"/>
    </xf>
    <xf numFmtId="0" fontId="7" fillId="4" borderId="23" xfId="0" applyFont="1" applyFill="1" applyBorder="1" applyAlignment="1">
      <alignment horizontal="left" indent="3"/>
    </xf>
    <xf numFmtId="0" fontId="7" fillId="4" borderId="19" xfId="0" applyFont="1" applyFill="1" applyBorder="1" applyAlignment="1">
      <alignment horizontal="left" indent="3"/>
    </xf>
    <xf numFmtId="0" fontId="7" fillId="4" borderId="24" xfId="0" applyFont="1" applyFill="1" applyBorder="1" applyAlignment="1">
      <alignment horizontal="left" indent="3"/>
    </xf>
    <xf numFmtId="0" fontId="7" fillId="0" borderId="21" xfId="0" applyFont="1" applyBorder="1" applyAlignment="1">
      <alignment horizontal="left" indent="3"/>
    </xf>
    <xf numFmtId="0" fontId="7" fillId="0" borderId="22" xfId="0" applyFont="1" applyBorder="1" applyAlignment="1">
      <alignment horizontal="left" indent="3"/>
    </xf>
    <xf numFmtId="0" fontId="7" fillId="0" borderId="17" xfId="0" applyFont="1" applyBorder="1" applyAlignment="1">
      <alignment horizontal="left" indent="3"/>
    </xf>
    <xf numFmtId="0" fontId="7" fillId="0" borderId="23" xfId="0" applyFont="1" applyBorder="1" applyAlignment="1">
      <alignment horizontal="left" indent="3"/>
    </xf>
    <xf numFmtId="0" fontId="8" fillId="3" borderId="17" xfId="0" applyFont="1" applyFill="1" applyBorder="1" applyAlignment="1">
      <alignment horizontal="left" indent="3"/>
    </xf>
    <xf numFmtId="0" fontId="8" fillId="3" borderId="23" xfId="0" applyFont="1" applyFill="1" applyBorder="1" applyAlignment="1">
      <alignment horizontal="left" indent="3"/>
    </xf>
    <xf numFmtId="0" fontId="5" fillId="6" borderId="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8" borderId="2" xfId="2" applyFont="1" applyFill="1" applyBorder="1"/>
    <xf numFmtId="0" fontId="9" fillId="8" borderId="9" xfId="2" applyFont="1" applyFill="1" applyBorder="1" applyAlignment="1">
      <alignment horizontal="center"/>
    </xf>
    <xf numFmtId="0" fontId="9" fillId="8" borderId="1" xfId="2" applyFont="1" applyFill="1" applyBorder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159938</xdr:rowOff>
    </xdr:from>
    <xdr:to>
      <xdr:col>5</xdr:col>
      <xdr:colOff>280034</xdr:colOff>
      <xdr:row>10</xdr:row>
      <xdr:rowOff>136345</xdr:rowOff>
    </xdr:to>
    <xdr:pic>
      <xdr:nvPicPr>
        <xdr:cNvPr id="8" name="Imagem 6">
          <a:extLst>
            <a:ext uri="{FF2B5EF4-FFF2-40B4-BE49-F238E27FC236}">
              <a16:creationId xmlns:a16="http://schemas.microsoft.com/office/drawing/2014/main" id="{5259BE72-10C4-C7AC-D51C-1836C6ED8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159938"/>
          <a:ext cx="7477125" cy="180520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A085-48A8-4CEA-B4FD-7F847A1A45EB}">
  <dimension ref="A12:XFC56"/>
  <sheetViews>
    <sheetView showGridLines="0" tabSelected="1" zoomScale="80" zoomScaleNormal="80" workbookViewId="0">
      <selection activeCell="E26" sqref="E26"/>
    </sheetView>
  </sheetViews>
  <sheetFormatPr defaultColWidth="0" defaultRowHeight="14.4" x14ac:dyDescent="0.3"/>
  <cols>
    <col min="1" max="1" width="8.88671875" customWidth="1"/>
    <col min="2" max="2" width="42.6640625" customWidth="1"/>
    <col min="3" max="3" width="30" bestFit="1" customWidth="1"/>
    <col min="4" max="4" width="20.44140625" customWidth="1"/>
    <col min="5" max="5" width="7.109375" customWidth="1"/>
    <col min="6" max="6" width="8.77734375" customWidth="1"/>
    <col min="7" max="7" width="8" hidden="1" customWidth="1"/>
    <col min="8" max="16383" width="8" hidden="1"/>
    <col min="16384" max="16384" width="1.21875" customWidth="1"/>
  </cols>
  <sheetData>
    <row r="12" spans="2:4" ht="15" thickBot="1" x14ac:dyDescent="0.35"/>
    <row r="13" spans="2:4" ht="26.4" thickBot="1" x14ac:dyDescent="0.35">
      <c r="B13" s="57" t="s">
        <v>13</v>
      </c>
      <c r="C13" s="58"/>
      <c r="D13" s="59"/>
    </row>
    <row r="14" spans="2:4" ht="16.2" thickBot="1" x14ac:dyDescent="0.35">
      <c r="B14" s="45" t="s">
        <v>15</v>
      </c>
      <c r="C14" s="46"/>
      <c r="D14" s="13">
        <v>5000</v>
      </c>
    </row>
    <row r="15" spans="2:4" ht="16.2" thickBot="1" x14ac:dyDescent="0.35">
      <c r="B15" s="47" t="s">
        <v>14</v>
      </c>
      <c r="C15" s="48"/>
      <c r="D15" s="15">
        <v>6.0000000000000001E-3</v>
      </c>
    </row>
    <row r="16" spans="2:4" ht="16.2" thickBot="1" x14ac:dyDescent="0.35">
      <c r="B16" s="49" t="s">
        <v>16</v>
      </c>
      <c r="C16" s="50"/>
      <c r="D16" s="14">
        <f>D14*30%</f>
        <v>1500</v>
      </c>
    </row>
    <row r="17" spans="1:4" ht="15" thickBot="1" x14ac:dyDescent="0.35"/>
    <row r="18" spans="1:4" ht="25.8" x14ac:dyDescent="0.3">
      <c r="B18" s="60" t="s">
        <v>5</v>
      </c>
      <c r="C18" s="61"/>
      <c r="D18" s="62"/>
    </row>
    <row r="19" spans="1:4" ht="16.2" thickBot="1" x14ac:dyDescent="0.35">
      <c r="B19" s="51" t="s">
        <v>0</v>
      </c>
      <c r="C19" s="52"/>
      <c r="D19" s="23">
        <v>500</v>
      </c>
    </row>
    <row r="20" spans="1:4" ht="15" customHeight="1" thickBot="1" x14ac:dyDescent="0.35">
      <c r="B20" s="53" t="s">
        <v>1</v>
      </c>
      <c r="C20" s="54"/>
      <c r="D20" s="19">
        <v>5</v>
      </c>
    </row>
    <row r="21" spans="1:4" ht="15" customHeight="1" thickBot="1" x14ac:dyDescent="0.35">
      <c r="B21" s="53" t="s">
        <v>2</v>
      </c>
      <c r="C21" s="54"/>
      <c r="D21" s="20">
        <v>1.0789999999999999E-2</v>
      </c>
    </row>
    <row r="22" spans="1:4" ht="15" customHeight="1" thickBot="1" x14ac:dyDescent="0.35">
      <c r="B22" s="55" t="s">
        <v>3</v>
      </c>
      <c r="C22" s="56"/>
      <c r="D22" s="21">
        <f>FV(taxa_mensal,qtd_anos*12,Aporte*-1)</f>
        <v>41888.456999243819</v>
      </c>
    </row>
    <row r="23" spans="1:4" ht="15" customHeight="1" thickBot="1" x14ac:dyDescent="0.35">
      <c r="B23" s="43" t="s">
        <v>4</v>
      </c>
      <c r="C23" s="44"/>
      <c r="D23" s="22">
        <f>patrimonio*Rendimento_carteira</f>
        <v>251.33074199546292</v>
      </c>
    </row>
    <row r="24" spans="1:4" ht="15" thickBot="1" x14ac:dyDescent="0.35"/>
    <row r="25" spans="1:4" ht="25.8" x14ac:dyDescent="0.3">
      <c r="A25" s="4"/>
      <c r="B25" s="60" t="s">
        <v>11</v>
      </c>
      <c r="C25" s="61"/>
      <c r="D25" s="63" t="s">
        <v>12</v>
      </c>
    </row>
    <row r="26" spans="1:4" ht="15.6" x14ac:dyDescent="0.3">
      <c r="A26" s="4">
        <v>2</v>
      </c>
      <c r="B26" s="16" t="s">
        <v>6</v>
      </c>
      <c r="C26" s="6">
        <f>FV($D$21,$A26*12,$D$19*-1)</f>
        <v>13613.813648822608</v>
      </c>
      <c r="D26" s="8">
        <f>C26*Rendimento_carteira</f>
        <v>81.682881892935654</v>
      </c>
    </row>
    <row r="27" spans="1:4" ht="15.6" x14ac:dyDescent="0.3">
      <c r="A27" s="4">
        <v>5</v>
      </c>
      <c r="B27" s="17" t="s">
        <v>7</v>
      </c>
      <c r="C27" s="7">
        <f>FV($D$21,$A27*12,$D$19*-1)</f>
        <v>41888.456999243819</v>
      </c>
      <c r="D27" s="9">
        <f>C27*Rendimento_carteira</f>
        <v>251.33074199546292</v>
      </c>
    </row>
    <row r="28" spans="1:4" ht="15.6" x14ac:dyDescent="0.3">
      <c r="A28" s="4">
        <v>10</v>
      </c>
      <c r="B28" s="17" t="s">
        <v>8</v>
      </c>
      <c r="C28" s="7">
        <f>FV($D$21,$A28*12,$D$19*-1)</f>
        <v>121642.1062650861</v>
      </c>
      <c r="D28" s="9">
        <f>C28*Rendimento_carteira</f>
        <v>729.85263759051657</v>
      </c>
    </row>
    <row r="29" spans="1:4" ht="15.6" x14ac:dyDescent="0.3">
      <c r="A29" s="4">
        <v>20</v>
      </c>
      <c r="B29" s="17" t="s">
        <v>9</v>
      </c>
      <c r="C29" s="7">
        <f>FV($D$21,$A29*12,$D$19*-1)</f>
        <v>562599.20004854025</v>
      </c>
      <c r="D29" s="9">
        <f>C29*Rendimento_carteira</f>
        <v>3375.5952002912418</v>
      </c>
    </row>
    <row r="30" spans="1:4" ht="16.2" thickBot="1" x14ac:dyDescent="0.35">
      <c r="A30" s="4">
        <v>30</v>
      </c>
      <c r="B30" s="18" t="s">
        <v>10</v>
      </c>
      <c r="C30" s="10">
        <f>FV($D$21,$A30*12,$D$19*-1)</f>
        <v>2161084.8275023573</v>
      </c>
      <c r="D30" s="11">
        <f>C30*Rendimento_carteira</f>
        <v>12966.508965014144</v>
      </c>
    </row>
    <row r="33" spans="2:4" ht="15" thickBot="1" x14ac:dyDescent="0.35"/>
    <row r="34" spans="2:4" x14ac:dyDescent="0.3">
      <c r="B34" s="66" t="s">
        <v>21</v>
      </c>
      <c r="C34" s="65" t="s">
        <v>19</v>
      </c>
      <c r="D34" s="64"/>
    </row>
    <row r="35" spans="2:4" x14ac:dyDescent="0.3">
      <c r="B35" s="31" t="s">
        <v>20</v>
      </c>
      <c r="C35" s="32">
        <f>Aporte</f>
        <v>500</v>
      </c>
      <c r="D35" s="33"/>
    </row>
    <row r="36" spans="2:4" x14ac:dyDescent="0.3">
      <c r="B36" s="1"/>
      <c r="D36" s="2"/>
    </row>
    <row r="37" spans="2:4" x14ac:dyDescent="0.3">
      <c r="B37" s="34" t="s">
        <v>22</v>
      </c>
      <c r="C37" s="35" t="s">
        <v>23</v>
      </c>
      <c r="D37" s="36" t="s">
        <v>24</v>
      </c>
    </row>
    <row r="38" spans="2:4" x14ac:dyDescent="0.3">
      <c r="B38" s="37" t="s">
        <v>25</v>
      </c>
      <c r="C38" s="38">
        <f>VLOOKUP($C$34&amp;"-"&amp;B38,'Planilha de apoio'!$B:$E,4,)</f>
        <v>0.3</v>
      </c>
      <c r="D38" s="39">
        <f>C38*$C$35</f>
        <v>150</v>
      </c>
    </row>
    <row r="39" spans="2:4" x14ac:dyDescent="0.3">
      <c r="B39" s="37" t="s">
        <v>26</v>
      </c>
      <c r="C39" s="38">
        <f>VLOOKUP($C$34&amp;"-"&amp;B39,'Planilha de apoio'!$B:$E,4,)</f>
        <v>0.5</v>
      </c>
      <c r="D39" s="39">
        <f t="shared" ref="D39:D43" si="0">C39*$C$35</f>
        <v>250</v>
      </c>
    </row>
    <row r="40" spans="2:4" x14ac:dyDescent="0.3">
      <c r="B40" s="37" t="s">
        <v>27</v>
      </c>
      <c r="C40" s="38">
        <f>VLOOKUP($C$34&amp;"-"&amp;B40,'Planilha de apoio'!$B:$E,4,)</f>
        <v>0.1</v>
      </c>
      <c r="D40" s="39">
        <f t="shared" si="0"/>
        <v>50</v>
      </c>
    </row>
    <row r="41" spans="2:4" x14ac:dyDescent="0.3">
      <c r="B41" s="37" t="s">
        <v>28</v>
      </c>
      <c r="C41" s="38">
        <f>VLOOKUP($C$34&amp;"-"&amp;B41,'Planilha de apoio'!$B:$E,4,)</f>
        <v>0.1</v>
      </c>
      <c r="D41" s="39">
        <f t="shared" si="0"/>
        <v>50</v>
      </c>
    </row>
    <row r="42" spans="2:4" x14ac:dyDescent="0.3">
      <c r="B42" s="37" t="s">
        <v>29</v>
      </c>
      <c r="C42" s="38">
        <f>VLOOKUP($C$34&amp;"-"&amp;B42,'Planilha de apoio'!$B:$E,4,)</f>
        <v>0</v>
      </c>
      <c r="D42" s="39">
        <f t="shared" si="0"/>
        <v>0</v>
      </c>
    </row>
    <row r="43" spans="2:4" x14ac:dyDescent="0.3">
      <c r="B43" s="37" t="s">
        <v>30</v>
      </c>
      <c r="C43" s="38">
        <f>VLOOKUP($C$34&amp;"-"&amp;B43,'Planilha de apoio'!$B:$E,4,)</f>
        <v>0</v>
      </c>
      <c r="D43" s="39">
        <f t="shared" si="0"/>
        <v>0</v>
      </c>
    </row>
    <row r="44" spans="2:4" ht="15" thickBot="1" x14ac:dyDescent="0.35">
      <c r="B44" s="40"/>
      <c r="C44" s="41"/>
      <c r="D44" s="42">
        <f>SUM(D38:D43)</f>
        <v>500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</sheetData>
  <mergeCells count="11">
    <mergeCell ref="B13:D13"/>
    <mergeCell ref="B25:C25"/>
    <mergeCell ref="B19:C19"/>
    <mergeCell ref="B20:C20"/>
    <mergeCell ref="B21:C21"/>
    <mergeCell ref="B22:C22"/>
    <mergeCell ref="B23:C23"/>
    <mergeCell ref="B18:D18"/>
    <mergeCell ref="B14:C14"/>
    <mergeCell ref="B15:C15"/>
    <mergeCell ref="B16:C16"/>
  </mergeCells>
  <dataValidations count="1">
    <dataValidation type="list" allowBlank="1" showInputMessage="1" showErrorMessage="1" sqref="C34" xr:uid="{48E005A7-4E29-4A51-9CA7-53E05DDFABF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4342-4F14-4EB0-8975-30015251D125}">
  <dimension ref="B1:H20"/>
  <sheetViews>
    <sheetView showGridLines="0" workbookViewId="0">
      <selection activeCell="C28" sqref="C28"/>
    </sheetView>
  </sheetViews>
  <sheetFormatPr defaultRowHeight="14.4" x14ac:dyDescent="0.3"/>
  <cols>
    <col min="2" max="2" width="28.77734375" bestFit="1" customWidth="1"/>
    <col min="3" max="3" width="11.21875" bestFit="1" customWidth="1"/>
    <col min="4" max="4" width="17.6640625" bestFit="1" customWidth="1"/>
    <col min="7" max="7" width="15.44140625" bestFit="1" customWidth="1"/>
  </cols>
  <sheetData>
    <row r="1" spans="2:8" ht="15" thickBot="1" x14ac:dyDescent="0.35"/>
    <row r="2" spans="2:8" x14ac:dyDescent="0.3">
      <c r="B2" s="26" t="s">
        <v>32</v>
      </c>
      <c r="C2" s="27" t="s">
        <v>21</v>
      </c>
      <c r="D2" s="27" t="s">
        <v>22</v>
      </c>
      <c r="E2" s="28" t="s">
        <v>31</v>
      </c>
      <c r="H2" s="5"/>
    </row>
    <row r="3" spans="2:8" x14ac:dyDescent="0.3">
      <c r="B3" s="1" t="s">
        <v>33</v>
      </c>
      <c r="C3" t="s">
        <v>19</v>
      </c>
      <c r="D3" s="5" t="s">
        <v>25</v>
      </c>
      <c r="E3" s="29">
        <v>0.3</v>
      </c>
      <c r="H3" s="12"/>
    </row>
    <row r="4" spans="2:8" x14ac:dyDescent="0.3">
      <c r="B4" s="1" t="s">
        <v>34</v>
      </c>
      <c r="C4" t="s">
        <v>19</v>
      </c>
      <c r="D4" s="5" t="s">
        <v>26</v>
      </c>
      <c r="E4" s="29">
        <v>0.5</v>
      </c>
    </row>
    <row r="5" spans="2:8" x14ac:dyDescent="0.3">
      <c r="B5" s="1" t="s">
        <v>35</v>
      </c>
      <c r="C5" t="s">
        <v>19</v>
      </c>
      <c r="D5" s="5" t="s">
        <v>27</v>
      </c>
      <c r="E5" s="29">
        <v>0.1</v>
      </c>
    </row>
    <row r="6" spans="2:8" x14ac:dyDescent="0.3">
      <c r="B6" s="1" t="s">
        <v>36</v>
      </c>
      <c r="C6" t="s">
        <v>19</v>
      </c>
      <c r="D6" s="5" t="s">
        <v>28</v>
      </c>
      <c r="E6" s="29">
        <v>0.1</v>
      </c>
    </row>
    <row r="7" spans="2:8" x14ac:dyDescent="0.3">
      <c r="B7" s="1" t="s">
        <v>37</v>
      </c>
      <c r="C7" t="s">
        <v>19</v>
      </c>
      <c r="D7" s="5" t="s">
        <v>29</v>
      </c>
      <c r="E7" s="29">
        <v>0</v>
      </c>
    </row>
    <row r="8" spans="2:8" ht="15" thickBot="1" x14ac:dyDescent="0.35">
      <c r="B8" s="3" t="s">
        <v>38</v>
      </c>
      <c r="C8" s="24" t="s">
        <v>19</v>
      </c>
      <c r="D8" s="25" t="s">
        <v>30</v>
      </c>
      <c r="E8" s="30">
        <v>0</v>
      </c>
    </row>
    <row r="9" spans="2:8" x14ac:dyDescent="0.3">
      <c r="B9" s="1" t="s">
        <v>39</v>
      </c>
      <c r="C9" t="s">
        <v>18</v>
      </c>
      <c r="D9" s="5" t="s">
        <v>25</v>
      </c>
      <c r="E9" s="29">
        <v>0.32</v>
      </c>
    </row>
    <row r="10" spans="2:8" x14ac:dyDescent="0.3">
      <c r="B10" s="1" t="s">
        <v>40</v>
      </c>
      <c r="C10" t="s">
        <v>18</v>
      </c>
      <c r="D10" s="5" t="s">
        <v>26</v>
      </c>
      <c r="E10" s="29">
        <v>0.35</v>
      </c>
    </row>
    <row r="11" spans="2:8" x14ac:dyDescent="0.3">
      <c r="B11" s="1" t="s">
        <v>41</v>
      </c>
      <c r="C11" t="s">
        <v>18</v>
      </c>
      <c r="D11" s="5" t="s">
        <v>27</v>
      </c>
      <c r="E11" s="29">
        <v>0.08</v>
      </c>
    </row>
    <row r="12" spans="2:8" x14ac:dyDescent="0.3">
      <c r="B12" s="1" t="s">
        <v>42</v>
      </c>
      <c r="C12" t="s">
        <v>18</v>
      </c>
      <c r="D12" s="5" t="s">
        <v>28</v>
      </c>
      <c r="E12" s="29">
        <v>0.05</v>
      </c>
    </row>
    <row r="13" spans="2:8" x14ac:dyDescent="0.3">
      <c r="B13" s="1" t="s">
        <v>43</v>
      </c>
      <c r="C13" t="s">
        <v>18</v>
      </c>
      <c r="D13" s="5" t="s">
        <v>29</v>
      </c>
      <c r="E13" s="29">
        <v>0.1</v>
      </c>
    </row>
    <row r="14" spans="2:8" ht="15" thickBot="1" x14ac:dyDescent="0.35">
      <c r="B14" s="3" t="s">
        <v>44</v>
      </c>
      <c r="C14" s="24" t="s">
        <v>18</v>
      </c>
      <c r="D14" s="25" t="s">
        <v>30</v>
      </c>
      <c r="E14" s="30">
        <v>0.1</v>
      </c>
    </row>
    <row r="15" spans="2:8" x14ac:dyDescent="0.3">
      <c r="B15" s="1" t="s">
        <v>45</v>
      </c>
      <c r="C15" t="s">
        <v>17</v>
      </c>
      <c r="D15" s="5" t="s">
        <v>25</v>
      </c>
      <c r="E15" s="29">
        <v>0.5</v>
      </c>
    </row>
    <row r="16" spans="2:8" x14ac:dyDescent="0.3">
      <c r="B16" s="1" t="s">
        <v>46</v>
      </c>
      <c r="C16" t="s">
        <v>17</v>
      </c>
      <c r="D16" s="5" t="s">
        <v>26</v>
      </c>
      <c r="E16" s="29">
        <v>0.1</v>
      </c>
    </row>
    <row r="17" spans="2:5" x14ac:dyDescent="0.3">
      <c r="B17" s="1" t="s">
        <v>47</v>
      </c>
      <c r="C17" t="s">
        <v>17</v>
      </c>
      <c r="D17" s="5" t="s">
        <v>27</v>
      </c>
      <c r="E17" s="29">
        <v>0.05</v>
      </c>
    </row>
    <row r="18" spans="2:5" x14ac:dyDescent="0.3">
      <c r="B18" s="1" t="s">
        <v>48</v>
      </c>
      <c r="C18" t="s">
        <v>17</v>
      </c>
      <c r="D18" s="5" t="s">
        <v>28</v>
      </c>
      <c r="E18" s="29">
        <v>0.05</v>
      </c>
    </row>
    <row r="19" spans="2:5" x14ac:dyDescent="0.3">
      <c r="B19" s="1" t="s">
        <v>49</v>
      </c>
      <c r="C19" t="s">
        <v>17</v>
      </c>
      <c r="D19" s="5" t="s">
        <v>29</v>
      </c>
      <c r="E19" s="29">
        <v>0.2</v>
      </c>
    </row>
    <row r="20" spans="2:5" ht="15" thickBot="1" x14ac:dyDescent="0.35">
      <c r="B20" s="3" t="s">
        <v>50</v>
      </c>
      <c r="C20" s="24" t="s">
        <v>17</v>
      </c>
      <c r="D20" s="25" t="s">
        <v>30</v>
      </c>
      <c r="E20" s="3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Projeção financeira</vt:lpstr>
      <vt:lpstr>Planilha de 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Thainá Silva</dc:creator>
  <cp:lastModifiedBy>Thainá Silva</cp:lastModifiedBy>
  <dcterms:created xsi:type="dcterms:W3CDTF">2026-09-22T22:20:34Z</dcterms:created>
  <dcterms:modified xsi:type="dcterms:W3CDTF">2026-09-23T00:47:50Z</dcterms:modified>
</cp:coreProperties>
</file>